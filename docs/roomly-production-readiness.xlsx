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What We Have" sheetId="3" state="visible" r:id="rId3"/>
    <sheet xmlns:r="http://schemas.openxmlformats.org/officeDocument/2006/relationships" name="Not In App" sheetId="4" state="visible" r:id="rId4"/>
    <sheet xmlns:r="http://schemas.openxmlformats.org/officeDocument/2006/relationships" name="Legend" sheetId="5" state="visible" r:id="rId5"/>
  </sheets>
  <definedNames>
    <definedName name="_xlnm._FilterDatabase" localSheetId="1" hidden="1">'Issues'!$A$1:$M$43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D7DA"/>
      </patternFill>
    </fill>
    <fill>
      <patternFill patternType="solid">
        <fgColor rgb="00FDE5CC"/>
      </patternFill>
    </fill>
    <fill>
      <patternFill patternType="solid">
        <fgColor rgb="00FFF3C4"/>
      </patternFill>
    </fill>
    <fill>
      <patternFill patternType="solid">
        <fgColor rgb="00E9ECEF"/>
      </patternFill>
    </fill>
    <fill>
      <patternFill patternType="solid">
        <fgColor rgb="00FFFB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0" borderId="1" pivotButton="0" quotePrefix="0" xfId="0"/>
    <xf numFmtId="9" fontId="5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Arial"/>
        <strike val="1"/>
        <color rgb="006C757D"/>
      </font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62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</cols>
  <sheetData>
    <row r="1">
      <c r="A1" s="1" t="inlineStr">
        <is>
          <t>Roomly: Production Readiness</t>
        </is>
      </c>
    </row>
    <row r="2">
      <c r="A2" s="2" t="inlineStr">
        <is>
          <t>Audit date: 2026-10-10. Edit Status / Owner / Target date on the Issues sheet; counts below update automatically.</t>
        </is>
      </c>
    </row>
    <row r="4">
      <c r="A4" s="3" t="inlineStr">
        <is>
          <t>Severity</t>
        </is>
      </c>
      <c r="B4" s="3" t="inlineStr">
        <is>
          <t>Meaning</t>
        </is>
      </c>
      <c r="C4" s="3" t="inlineStr">
        <is>
          <t>Total</t>
        </is>
      </c>
      <c r="D4" s="3" t="inlineStr">
        <is>
          <t>Open</t>
        </is>
      </c>
      <c r="E4" s="3" t="inlineStr">
        <is>
          <t>In progress</t>
        </is>
      </c>
      <c r="F4" s="3" t="inlineStr">
        <is>
          <t>Done</t>
        </is>
      </c>
      <c r="G4" s="3" t="inlineStr">
        <is>
          <t>% done</t>
        </is>
      </c>
    </row>
    <row r="5">
      <c r="A5" s="4" t="inlineStr">
        <is>
          <t>Blocker</t>
        </is>
      </c>
      <c r="B5" s="5" t="inlineStr">
        <is>
          <t>Store rejection, security hole or data loss. Must fix before launch.</t>
        </is>
      </c>
      <c r="C5" s="5">
        <f>COUNTIF(Issues!$B:$B,A5)</f>
        <v/>
      </c>
      <c r="D5" s="5">
        <f>COUNTIFS(Issues!$B:$B,A5,Issues!$J:$J,"Open")</f>
        <v/>
      </c>
      <c r="E5" s="5">
        <f>COUNTIFS(Issues!$B:$B,A5,Issues!$J:$J,"In progress")</f>
        <v/>
      </c>
      <c r="F5" s="5">
        <f>COUNTIFS(Issues!$B:$B,A5,Issues!$J:$J,"Done")</f>
        <v/>
      </c>
      <c r="G5" s="6">
        <f>IF(C5=0,0,F5/C5)</f>
        <v/>
      </c>
    </row>
    <row r="6">
      <c r="A6" s="7" t="inlineStr">
        <is>
          <t>High</t>
        </is>
      </c>
      <c r="B6" s="5" t="inlineStr">
        <is>
          <t>Fix before launch or it breaks as you grow.</t>
        </is>
      </c>
      <c r="C6" s="5">
        <f>COUNTIF(Issues!$B:$B,A6)</f>
        <v/>
      </c>
      <c r="D6" s="5">
        <f>COUNTIFS(Issues!$B:$B,A6,Issues!$J:$J,"Open")</f>
        <v/>
      </c>
      <c r="E6" s="5">
        <f>COUNTIFS(Issues!$B:$B,A6,Issues!$J:$J,"In progress")</f>
        <v/>
      </c>
      <c r="F6" s="5">
        <f>COUNTIFS(Issues!$B:$B,A6,Issues!$J:$J,"Done")</f>
        <v/>
      </c>
      <c r="G6" s="6">
        <f>IF(C6=0,0,F6/C6)</f>
        <v/>
      </c>
    </row>
    <row r="7">
      <c r="A7" s="8" t="inlineStr">
        <is>
          <t>Medium</t>
        </is>
      </c>
      <c r="B7" s="5" t="inlineStr">
        <is>
          <t>Needed for a multi-country, large-scale product.</t>
        </is>
      </c>
      <c r="C7" s="5">
        <f>COUNTIF(Issues!$B:$B,A7)</f>
        <v/>
      </c>
      <c r="D7" s="5">
        <f>COUNTIFS(Issues!$B:$B,A7,Issues!$J:$J,"Open")</f>
        <v/>
      </c>
      <c r="E7" s="5">
        <f>COUNTIFS(Issues!$B:$B,A7,Issues!$J:$J,"In progress")</f>
        <v/>
      </c>
      <c r="F7" s="5">
        <f>COUNTIFS(Issues!$B:$B,A7,Issues!$J:$J,"Done")</f>
        <v/>
      </c>
      <c r="G7" s="6">
        <f>IF(C7=0,0,F7/C7)</f>
        <v/>
      </c>
    </row>
    <row r="8">
      <c r="A8" s="9" t="inlineStr">
        <is>
          <t>Low</t>
        </is>
      </c>
      <c r="B8" s="5" t="inlineStr">
        <is>
          <t>Cleanup.</t>
        </is>
      </c>
      <c r="C8" s="5">
        <f>COUNTIF(Issues!$B:$B,A8)</f>
        <v/>
      </c>
      <c r="D8" s="5">
        <f>COUNTIFS(Issues!$B:$B,A8,Issues!$J:$J,"Open")</f>
        <v/>
      </c>
      <c r="E8" s="5">
        <f>COUNTIFS(Issues!$B:$B,A8,Issues!$J:$J,"In progress")</f>
        <v/>
      </c>
      <c r="F8" s="5">
        <f>COUNTIFS(Issues!$B:$B,A8,Issues!$J:$J,"Done")</f>
        <v/>
      </c>
      <c r="G8" s="6">
        <f>IF(C8=0,0,F8/C8)</f>
        <v/>
      </c>
    </row>
    <row r="9">
      <c r="A9" s="10" t="inlineStr">
        <is>
          <t>Total</t>
        </is>
      </c>
      <c r="B9" s="10" t="n"/>
      <c r="C9" s="10">
        <f>SUM(C5:C8)</f>
        <v/>
      </c>
      <c r="D9" s="10">
        <f>SUM(D5:D8)</f>
        <v/>
      </c>
      <c r="E9" s="10">
        <f>SUM(E5:E8)</f>
        <v/>
      </c>
      <c r="F9" s="10">
        <f>SUM(F5:F8)</f>
        <v/>
      </c>
      <c r="G9" s="11">
        <f>IF(C9=0,0,F9/C9)</f>
        <v/>
      </c>
    </row>
    <row r="11">
      <c r="A11" s="12" t="inlineStr">
        <is>
          <t>Suggested order</t>
        </is>
      </c>
    </row>
    <row r="12">
      <c r="A12" s="13" t="inlineStr">
        <is>
          <t>1. Security fix: B1 (about a day).</t>
        </is>
      </c>
    </row>
    <row r="13">
      <c r="A13" s="13" t="inlineStr">
        <is>
          <t>2. Store blockers: B2-B11. Start the 14-day Google Play closed test now so it runs in parallel.</t>
        </is>
      </c>
    </row>
    <row r="14">
      <c r="A14" s="13" t="inlineStr">
        <is>
          <t>3. Scale: H1-H5, H7, H9 (balance snapshots, pagination, indexes, push worker, pg_cron, staging + Supabase CLI).</t>
        </is>
      </c>
    </row>
    <row r="15">
      <c r="A15" s="13" t="inlineStr">
        <is>
          <t>4. Growth: Medium items, depending on launch markets.</t>
        </is>
      </c>
    </row>
    <row r="17">
      <c r="A17" s="2" t="inlineStr">
        <is>
          <t>Effort key: S = under 1 day, M = 1-3 days, L = 1+ week (rough estimates).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55" customWidth="1" min="5" max="5"/>
    <col width="34" customWidth="1" min="6" max="6"/>
    <col width="40" customWidth="1" min="7" max="7"/>
    <col width="50" customWidth="1" min="8" max="8"/>
    <col width="8" customWidth="1" min="9" max="9"/>
    <col width="12" customWidth="1" min="10" max="10"/>
    <col width="14" customWidth="1" min="11" max="11"/>
    <col width="12" customWidth="1" min="12" max="12"/>
    <col width="30" customWidth="1" min="13" max="13"/>
  </cols>
  <sheetData>
    <row r="1" ht="22" customHeight="1">
      <c r="A1" s="14" t="inlineStr">
        <is>
          <t>ID</t>
        </is>
      </c>
      <c r="B1" s="14" t="inlineStr">
        <is>
          <t>Severity</t>
        </is>
      </c>
      <c r="C1" s="14" t="inlineStr">
        <is>
          <t>Category</t>
        </is>
      </c>
      <c r="D1" s="14" t="inlineStr">
        <is>
          <t>Issue</t>
        </is>
      </c>
      <c r="E1" s="14" t="inlineStr">
        <is>
          <t>Details</t>
        </is>
      </c>
      <c r="F1" s="14" t="inlineStr">
        <is>
          <t>Location</t>
        </is>
      </c>
      <c r="G1" s="14" t="inlineStr">
        <is>
          <t>Impact</t>
        </is>
      </c>
      <c r="H1" s="14" t="inlineStr">
        <is>
          <t>Recommended fix</t>
        </is>
      </c>
      <c r="I1" s="14" t="inlineStr">
        <is>
          <t>Effort</t>
        </is>
      </c>
      <c r="J1" s="14" t="inlineStr">
        <is>
          <t>Status</t>
        </is>
      </c>
      <c r="K1" s="14" t="inlineStr">
        <is>
          <t>Owner</t>
        </is>
      </c>
      <c r="L1" s="14" t="inlineStr">
        <is>
          <t>Target date</t>
        </is>
      </c>
      <c r="M1" s="14" t="inlineStr">
        <is>
          <t>Notes</t>
        </is>
      </c>
    </row>
    <row r="2">
      <c r="A2" s="5" t="inlineStr">
        <is>
          <t>B1</t>
        </is>
      </c>
      <c r="B2" s="4" t="inlineStr">
        <is>
          <t>Blocker</t>
        </is>
      </c>
      <c r="C2" s="5" t="inlineStr">
        <is>
          <t>Security</t>
        </is>
      </c>
      <c r="D2" s="5" t="inlineStr">
        <is>
          <t>Notification functions callable by any client</t>
        </is>
      </c>
      <c r="E2" s="5" t="inlineStr">
        <is>
          <t>notify_household and send_push_for_notification were created after the 'revoke execute from anon' in 0004 and never had permissions locked down; Postgres grants EXECUTE to PUBLIC by default. ensure_period also lacks a household membership check.</t>
        </is>
      </c>
      <c r="F2" s="5" t="inlineStr">
        <is>
          <t>supabase/migrations/0016_push.sql:108-191; 0011_apply_fixes.sql:24</t>
        </is>
      </c>
      <c r="G2" s="5" t="inlineStr">
        <is>
          <t>Anyone with the public key and a household ID can insert fake notifications and push arbitrary text to every phone in that household; signed-in users can create period rows in other households.</t>
        </is>
      </c>
      <c r="H2" s="5" t="inlineStr">
        <is>
          <t>Revoke EXECUTE on all functions from public/anon/authenticated, grant back only RPCs the app calls; ALTER DEFAULT PRIVILEGES so new functions start closed; add membership check to ensure_period.</t>
        </is>
      </c>
      <c r="I2" s="5" t="inlineStr">
        <is>
          <t>S</t>
        </is>
      </c>
      <c r="J2" s="15" t="inlineStr">
        <is>
          <t>Open</t>
        </is>
      </c>
      <c r="K2" s="15" t="inlineStr"/>
      <c r="L2" s="16" t="inlineStr"/>
      <c r="M2" s="15" t="inlineStr"/>
    </row>
    <row r="3">
      <c r="A3" s="5" t="inlineStr">
        <is>
          <t>B2</t>
        </is>
      </c>
      <c r="B3" s="4" t="inlineStr">
        <is>
          <t>Blocker</t>
        </is>
      </c>
      <c r="C3" s="5" t="inlineStr">
        <is>
          <t>Store compliance</t>
        </is>
      </c>
      <c r="D3" s="5" t="inlineStr">
        <is>
          <t>No in-app account deletion</t>
        </is>
      </c>
      <c r="E3" s="5" t="inlineStr">
        <is>
          <t>Settings only has Export and Sign out. No delete-account RPC or Edge Function; remove_member is owner-removes-member, not self-deletion.</t>
        </is>
      </c>
      <c r="F3" s="5" t="inlineStr">
        <is>
          <t>src/app/(app)/settings.tsx; account-edit.tsx</t>
        </is>
      </c>
      <c r="G3" s="5" t="inlineStr">
        <is>
          <t>Automatic rejection: Apple guideline 5.1.1(v) and Google Play account deletion policy.</t>
        </is>
      </c>
      <c r="H3" s="5" t="inlineStr">
        <is>
          <t>Add Delete Account screen + Edge Function (service role) that deletes auth.users row and scrubs/anonymises personal data; add web URL for Play's deletion form.</t>
        </is>
      </c>
      <c r="I3" s="5" t="inlineStr">
        <is>
          <t>M</t>
        </is>
      </c>
      <c r="J3" s="15" t="inlineStr">
        <is>
          <t>Open</t>
        </is>
      </c>
      <c r="K3" s="15" t="inlineStr"/>
      <c r="L3" s="16" t="inlineStr"/>
      <c r="M3" s="15" t="inlineStr"/>
    </row>
    <row r="4">
      <c r="A4" s="5" t="inlineStr">
        <is>
          <t>B3</t>
        </is>
      </c>
      <c r="B4" s="4" t="inlineStr">
        <is>
          <t>Blocker</t>
        </is>
      </c>
      <c r="C4" s="5" t="inlineStr">
        <is>
          <t>Legal / Store compliance</t>
        </is>
      </c>
      <c r="D4" s="5" t="inlineStr">
        <is>
          <t>No privacy policy, terms or support URL</t>
        </is>
      </c>
      <c r="E4" s="5" t="inlineStr">
        <is>
          <t>No privacy/terms links anywhere in the app; no consent text on register. No hosted policy page.</t>
        </is>
      </c>
      <c r="F4" s="5" t="inlineStr">
        <is>
          <t>src/app/register.tsx; settings.tsx</t>
        </is>
      </c>
      <c r="G4" s="5" t="inlineStr">
        <is>
          <t>Both stores require a privacy policy URL; Apple requires a support URL. Data Safety form (Play) and App Privacy labels (Apple) must be filled.</t>
        </is>
      </c>
      <c r="H4" s="5" t="inlineStr">
        <is>
          <t>Host privacy policy, terms, support page; link from register and Account; complete Data Safety and App Privacy questionnaires.</t>
        </is>
      </c>
      <c r="I4" s="5" t="inlineStr">
        <is>
          <t>S</t>
        </is>
      </c>
      <c r="J4" s="15" t="inlineStr">
        <is>
          <t>Open</t>
        </is>
      </c>
      <c r="K4" s="15" t="inlineStr"/>
      <c r="L4" s="16" t="inlineStr"/>
      <c r="M4" s="15" t="inlineStr"/>
    </row>
    <row r="5">
      <c r="A5" s="5" t="inlineStr">
        <is>
          <t>B4</t>
        </is>
      </c>
      <c r="B5" s="4" t="inlineStr">
        <is>
          <t>Blocker</t>
        </is>
      </c>
      <c r="C5" s="5" t="inlineStr">
        <is>
          <t>Branding / Store</t>
        </is>
      </c>
      <c r="D5" s="5" t="inlineStr">
        <is>
          <t>App icon is the Expo template logo</t>
        </is>
      </c>
      <c r="E5" s="5" t="inlineStr">
        <is>
          <t>assets/images/icon.png and assets/expo.icon are stock Expo; adaptive icon background is template default; display name is lowercase 'roomly'.</t>
        </is>
      </c>
      <c r="F5" s="5" t="inlineStr">
        <is>
          <t>assets/images/icon.png; assets/expo.icon; app.json</t>
        </is>
      </c>
      <c r="G5" s="5" t="inlineStr">
        <is>
          <t>Rejection or app looks like a test build.</t>
        </is>
      </c>
      <c r="H5" s="5" t="inlineStr">
        <is>
          <t>Design real icon set (1024 iOS, adaptive Android fg/bg/monochrome), splash; set name to 'Roomly'.</t>
        </is>
      </c>
      <c r="I5" s="5" t="inlineStr">
        <is>
          <t>S</t>
        </is>
      </c>
      <c r="J5" s="15" t="inlineStr">
        <is>
          <t>Open</t>
        </is>
      </c>
      <c r="K5" s="15" t="inlineStr"/>
      <c r="L5" s="16" t="inlineStr"/>
      <c r="M5" s="15" t="inlineStr"/>
    </row>
    <row r="6">
      <c r="A6" s="5" t="inlineStr">
        <is>
          <t>B5</t>
        </is>
      </c>
      <c r="B6" s="4" t="inlineStr">
        <is>
          <t>Blocker</t>
        </is>
      </c>
      <c r="C6" s="5" t="inlineStr">
        <is>
          <t>Build / Release</t>
        </is>
      </c>
      <c r="D6" s="5" t="inlineStr">
        <is>
          <t>EAS cloud builds crash on launch (no env vars)</t>
        </is>
      </c>
      <c r="E6" s="5" t="inlineStr">
        <is>
          <t>EXPO_PUBLIC_SUPABASE_* exist only in local .env (gitignored); eas.json has no env; supabase.ts throws if missing.</t>
        </is>
      </c>
      <c r="F6" s="5" t="inlineStr">
        <is>
          <t>eas.json; src/lib/supabase.ts:10</t>
        </is>
      </c>
      <c r="G6" s="5" t="inlineStr">
        <is>
          <t>Every cloud build crashes on start.</t>
        </is>
      </c>
      <c r="H6" s="5" t="inlineStr">
        <is>
          <t>Create EAS environment variables per environment (development/preview/production).</t>
        </is>
      </c>
      <c r="I6" s="5" t="inlineStr">
        <is>
          <t>S</t>
        </is>
      </c>
      <c r="J6" s="15" t="inlineStr">
        <is>
          <t>Done</t>
        </is>
      </c>
      <c r="K6" s="15" t="inlineStr"/>
      <c r="L6" s="16" t="inlineStr"/>
      <c r="M6" s="15" t="inlineStr">
        <is>
          <t>EAS production env vars set and verified 2026-10-10. Add to preview env before preview builds.</t>
        </is>
      </c>
    </row>
    <row r="7">
      <c r="A7" s="5" t="inlineStr">
        <is>
          <t>B6</t>
        </is>
      </c>
      <c r="B7" s="4" t="inlineStr">
        <is>
          <t>Blocker</t>
        </is>
      </c>
      <c r="C7" s="5" t="inlineStr">
        <is>
          <t>Store compliance (iOS)</t>
        </is>
      </c>
      <c r="D7" s="5" t="inlineStr">
        <is>
          <t>Missing iOS privacy manifest</t>
        </is>
      </c>
      <c r="E7" s="5" t="inlineStr">
        <is>
          <t>No ios.privacyManifests in app.json. AsyncStorage, SQLite and file system use Apple 'required reason' APIs.</t>
        </is>
      </c>
      <c r="F7" s="5" t="inlineStr">
        <is>
          <t>app.json</t>
        </is>
      </c>
      <c r="G7" s="5" t="inlineStr">
        <is>
          <t>App Store upload flagged/rejected.</t>
        </is>
      </c>
      <c r="H7" s="5" t="inlineStr">
        <is>
          <t>Add ios.privacyManifests with NSPrivacyAccessedAPITypes (UserDefaults, FileTimestamp, etc.) and collected data types.</t>
        </is>
      </c>
      <c r="I7" s="5" t="inlineStr">
        <is>
          <t>S</t>
        </is>
      </c>
      <c r="J7" s="15" t="inlineStr">
        <is>
          <t>Open</t>
        </is>
      </c>
      <c r="K7" s="15" t="inlineStr"/>
      <c r="L7" s="16" t="inlineStr"/>
      <c r="M7" s="15" t="inlineStr"/>
    </row>
    <row r="8">
      <c r="A8" s="5" t="inlineStr">
        <is>
          <t>B7</t>
        </is>
      </c>
      <c r="B8" s="4" t="inlineStr">
        <is>
          <t>Blocker</t>
        </is>
      </c>
      <c r="C8" s="5" t="inlineStr">
        <is>
          <t>Infrastructure</t>
        </is>
      </c>
      <c r="D8" s="5" t="inlineStr">
        <is>
          <t>Supabase built-in email limits</t>
        </is>
      </c>
      <c r="E8" s="5" t="inlineStr">
        <is>
          <t>Default Supabase SMTP sends only a few emails per hour and is not meant for production.</t>
        </is>
      </c>
      <c r="F8" s="5" t="inlineStr">
        <is>
          <t>Supabase dashboard &gt; Auth &gt; SMTP</t>
        </is>
      </c>
      <c r="G8" s="5" t="inlineStr">
        <is>
          <t>Sign-up confirmations and password resets silently fail once real users arrive.</t>
        </is>
      </c>
      <c r="H8" s="5" t="inlineStr">
        <is>
          <t>Configure custom SMTP (Resend, AWS SES, Postmark) with SPF/DKIM on your domain; brand email templates.</t>
        </is>
      </c>
      <c r="I8" s="5" t="inlineStr">
        <is>
          <t>S</t>
        </is>
      </c>
      <c r="J8" s="15" t="inlineStr">
        <is>
          <t>Open</t>
        </is>
      </c>
      <c r="K8" s="15" t="inlineStr"/>
      <c r="L8" s="16" t="inlineStr"/>
      <c r="M8" s="15" t="inlineStr"/>
    </row>
    <row r="9">
      <c r="A9" s="5" t="inlineStr">
        <is>
          <t>B8</t>
        </is>
      </c>
      <c r="B9" s="4" t="inlineStr">
        <is>
          <t>Blocker</t>
        </is>
      </c>
      <c r="C9" s="5" t="inlineStr">
        <is>
          <t>Infrastructure</t>
        </is>
      </c>
      <c r="D9" s="5" t="inlineStr">
        <is>
          <t>Supabase plan / backups</t>
        </is>
      </c>
      <c r="E9" s="5" t="inlineStr">
        <is>
          <t>Free projects pause after inactivity and have no point-in-time recovery. Only backup today is in-app CSV export.</t>
        </is>
      </c>
      <c r="F9" s="5" t="inlineStr">
        <is>
          <t>Supabase project</t>
        </is>
      </c>
      <c r="G9" s="5" t="inlineStr">
        <is>
          <t>Downtime and unrecoverable loss of a financial ledger.</t>
        </is>
      </c>
      <c r="H9" s="5" t="inlineStr">
        <is>
          <t>Move to Pro plan, enable PITR, and run a test restore on a schedule.</t>
        </is>
      </c>
      <c r="I9" s="5" t="inlineStr">
        <is>
          <t>S</t>
        </is>
      </c>
      <c r="J9" s="15" t="inlineStr">
        <is>
          <t>Open</t>
        </is>
      </c>
      <c r="K9" s="15" t="inlineStr"/>
      <c r="L9" s="16" t="inlineStr"/>
      <c r="M9" s="15" t="inlineStr"/>
    </row>
    <row r="10">
      <c r="A10" s="5" t="inlineStr">
        <is>
          <t>B9</t>
        </is>
      </c>
      <c r="B10" s="4" t="inlineStr">
        <is>
          <t>Blocker</t>
        </is>
      </c>
      <c r="C10" s="5" t="inlineStr">
        <is>
          <t>Observability</t>
        </is>
      </c>
      <c r="D10" s="5" t="inlineStr">
        <is>
          <t>No crash reporting and no error boundaries</t>
        </is>
      </c>
      <c r="E10" s="5" t="inlineStr">
        <is>
          <t>No Sentry/Bugsnag; no ErrorBoundary export in any layout; only two __DEV__ console.warn calls.</t>
        </is>
      </c>
      <c r="F10" s="5" t="inlineStr">
        <is>
          <t>src/app/_layout.tsx; package.json</t>
        </is>
      </c>
      <c r="G10" s="5" t="inlineStr">
        <is>
          <t>A single render error closes the app and you never find out.</t>
        </is>
      </c>
      <c r="H10" s="5" t="inlineStr">
        <is>
          <t>Add Sentry (@sentry/react-native) with source maps uploaded from EAS; root + per-route ErrorBoundary.</t>
        </is>
      </c>
      <c r="I10" s="5" t="inlineStr">
        <is>
          <t>S</t>
        </is>
      </c>
      <c r="J10" s="15" t="inlineStr">
        <is>
          <t>Open</t>
        </is>
      </c>
      <c r="K10" s="15" t="inlineStr"/>
      <c r="L10" s="16" t="inlineStr"/>
      <c r="M10" s="15" t="inlineStr"/>
    </row>
    <row r="11">
      <c r="A11" s="5" t="inlineStr">
        <is>
          <t>B10</t>
        </is>
      </c>
      <c r="B11" s="4" t="inlineStr">
        <is>
          <t>Blocker</t>
        </is>
      </c>
      <c r="C11" s="5" t="inlineStr">
        <is>
          <t>Store process (Android)</t>
        </is>
      </c>
      <c r="D11" s="5" t="inlineStr">
        <is>
          <t>Google Play closed-testing requirement</t>
        </is>
      </c>
      <c r="E11" s="5" t="inlineStr">
        <is>
          <t>New personal developer accounts must run a closed test with 12+ testers for 14 consecutive days before production access.</t>
        </is>
      </c>
      <c r="F11" s="5" t="inlineStr">
        <is>
          <t>Play Console</t>
        </is>
      </c>
      <c r="G11" s="5" t="inlineStr">
        <is>
          <t>Cannot publish publicly until the test is complete.</t>
        </is>
      </c>
      <c r="H11" s="5" t="inlineStr">
        <is>
          <t>Start the closed test now, in parallel with other fixes.</t>
        </is>
      </c>
      <c r="I11" s="5" t="inlineStr">
        <is>
          <t>S</t>
        </is>
      </c>
      <c r="J11" s="15" t="inlineStr">
        <is>
          <t>Open</t>
        </is>
      </c>
      <c r="K11" s="15" t="inlineStr"/>
      <c r="L11" s="16" t="inlineStr"/>
      <c r="M11" s="15" t="inlineStr"/>
    </row>
    <row r="12">
      <c r="A12" s="5" t="inlineStr">
        <is>
          <t>B11</t>
        </is>
      </c>
      <c r="B12" s="4" t="inlineStr">
        <is>
          <t>Blocker</t>
        </is>
      </c>
      <c r="C12" s="5" t="inlineStr">
        <is>
          <t>Store process (iOS)</t>
        </is>
      </c>
      <c r="D12" s="5" t="inlineStr">
        <is>
          <t>App Review demo account</t>
        </is>
      </c>
      <c r="E12" s="5" t="inlineStr">
        <is>
          <t>Every screen requires sign-in and a household.</t>
        </is>
      </c>
      <c r="F12" s="5" t="inlineStr">
        <is>
          <t>App Store Connect</t>
        </is>
      </c>
      <c r="G12" s="5" t="inlineStr">
        <is>
          <t>Reviewer cannot use the app, so it is rejected.</t>
        </is>
      </c>
      <c r="H12" s="5" t="inlineStr">
        <is>
          <t>Provide a ready demo account with seeded household data and a second member; keep it alive.</t>
        </is>
      </c>
      <c r="I12" s="5" t="inlineStr">
        <is>
          <t>S</t>
        </is>
      </c>
      <c r="J12" s="15" t="inlineStr">
        <is>
          <t>Open</t>
        </is>
      </c>
      <c r="K12" s="15" t="inlineStr"/>
      <c r="L12" s="16" t="inlineStr"/>
      <c r="M12" s="15" t="inlineStr"/>
    </row>
    <row r="13">
      <c r="A13" s="5" t="inlineStr">
        <is>
          <t>H1</t>
        </is>
      </c>
      <c r="B13" s="7" t="inlineStr">
        <is>
          <t>High</t>
        </is>
      </c>
      <c r="C13" s="5" t="inlineStr">
        <is>
          <t>Scalability</t>
        </is>
      </c>
      <c r="D13" s="5" t="inlineStr">
        <is>
          <t>Balances recompute from full history on every read</t>
        </is>
      </c>
      <c r="E13" s="5" t="inlineStr">
        <is>
          <t>member_balances / member_ledger re-add a household's entire history every time; no snapshot for closed months.</t>
        </is>
      </c>
      <c r="F13" s="5" t="inlineStr">
        <is>
          <t>supabase/migrations/0024_one_balance_expression.sql:61-153</t>
        </is>
      </c>
      <c r="G13" s="5" t="inlineStr">
        <is>
          <t>Each household gets slower every month; DB CPU grows with total data.</t>
        </is>
      </c>
      <c r="H13" s="5" t="inlineStr">
        <is>
          <t>Store a balance snapshot per closed period and sum only open months on top.</t>
        </is>
      </c>
      <c r="I13" s="5" t="inlineStr">
        <is>
          <t>M</t>
        </is>
      </c>
      <c r="J13" s="15" t="inlineStr">
        <is>
          <t>Open</t>
        </is>
      </c>
      <c r="K13" s="15" t="inlineStr"/>
      <c r="L13" s="16" t="inlineStr"/>
      <c r="M13" s="15" t="inlineStr"/>
    </row>
    <row r="14">
      <c r="A14" s="5" t="inlineStr">
        <is>
          <t>H2</t>
        </is>
      </c>
      <c r="B14" s="7" t="inlineStr">
        <is>
          <t>High</t>
        </is>
      </c>
      <c r="C14" s="5" t="inlineStr">
        <is>
          <t>Scalability / UX</t>
        </is>
      </c>
      <c r="D14" s="5" t="inlineStr">
        <is>
          <t>No pagination</t>
        </is>
      </c>
      <c r="E14" s="5" t="inlineStr">
        <is>
          <t>History loads fixed 200, search loads 500 and filters on device; settlements and pairwise screens load everything. Older history unreachable.</t>
        </is>
      </c>
      <c r="F14" s="5" t="inlineStr">
        <is>
          <t>history.tsx:30; search.tsx:18; queries.ts:599,1052</t>
        </is>
      </c>
      <c r="G14" s="5" t="inlineStr">
        <is>
          <t>Slow screens, high data usage, missing history for long-lived households.</t>
        </is>
      </c>
      <c r="H14" s="5" t="inlineStr">
        <is>
          <t>Cursor pagination with useInfiniteQuery + .range(); server-side search (trigram/FTS).</t>
        </is>
      </c>
      <c r="I14" s="5" t="inlineStr">
        <is>
          <t>M</t>
        </is>
      </c>
      <c r="J14" s="15" t="inlineStr">
        <is>
          <t>Open</t>
        </is>
      </c>
      <c r="K14" s="15" t="inlineStr"/>
      <c r="L14" s="16" t="inlineStr"/>
      <c r="M14" s="15" t="inlineStr"/>
    </row>
    <row r="15">
      <c r="A15" s="5" t="inlineStr">
        <is>
          <t>H3</t>
        </is>
      </c>
      <c r="B15" s="7" t="inlineStr">
        <is>
          <t>High</t>
        </is>
      </c>
      <c r="C15" s="5" t="inlineStr">
        <is>
          <t>Performance</t>
        </is>
      </c>
      <c r="D15" s="5" t="inlineStr">
        <is>
          <t>Every live update refetches every query</t>
        </is>
      </c>
      <c r="E15" s="5" t="inlineStr">
        <is>
          <t>Realtime handler and sync call invalidateQueries() with no filter.</t>
        </is>
      </c>
      <c r="F15" s="5" t="inlineStr">
        <is>
          <t>src/lib/realtime.ts:74; src/lib/sync.tsx</t>
        </is>
      </c>
      <c r="G15" s="5" t="inlineStr">
        <is>
          <t>Each change makes every open device refetch everything; DB load multiplies with users.</t>
        </is>
      </c>
      <c r="H15" s="5" t="inlineStr">
        <is>
          <t>Invalidate only affected query keys based on event kind.</t>
        </is>
      </c>
      <c r="I15" s="5" t="inlineStr">
        <is>
          <t>S</t>
        </is>
      </c>
      <c r="J15" s="15" t="inlineStr">
        <is>
          <t>Open</t>
        </is>
      </c>
      <c r="K15" s="15" t="inlineStr"/>
      <c r="L15" s="16" t="inlineStr"/>
      <c r="M15" s="15" t="inlineStr"/>
    </row>
    <row r="16">
      <c r="A16" s="5" t="inlineStr">
        <is>
          <t>H4</t>
        </is>
      </c>
      <c r="B16" s="7" t="inlineStr">
        <is>
          <t>High</t>
        </is>
      </c>
      <c r="C16" s="5" t="inlineStr">
        <is>
          <t>Database</t>
        </is>
      </c>
      <c r="D16" s="5" t="inlineStr">
        <is>
          <t>Missing indexes</t>
        </is>
      </c>
      <c r="E16" s="5" t="inlineStr">
        <is>
          <t>No index on settlements(from_member), (to_member), (period_id); notification_reads(member_id); audit_log(household_id, created_at); push_tokens(token); pending_changes, join_requests, invites; several unindexed FKs.</t>
        </is>
      </c>
      <c r="F16" s="5" t="inlineStr">
        <is>
          <t>supabase/migrations</t>
        </is>
      </c>
      <c r="G16" s="5" t="inlineStr">
        <is>
          <t>Full table scans on hot paths as data grows.</t>
        </is>
      </c>
      <c r="H16" s="5" t="inlineStr">
        <is>
          <t>Add migration with indexes; wrap RLS helper calls as (select current_household()).</t>
        </is>
      </c>
      <c r="I16" s="5" t="inlineStr">
        <is>
          <t>S</t>
        </is>
      </c>
      <c r="J16" s="15" t="inlineStr">
        <is>
          <t>Open</t>
        </is>
      </c>
      <c r="K16" s="15" t="inlineStr"/>
      <c r="L16" s="16" t="inlineStr"/>
      <c r="M16" s="15" t="inlineStr"/>
    </row>
    <row r="17">
      <c r="A17" s="5" t="inlineStr">
        <is>
          <t>H5</t>
        </is>
      </c>
      <c r="B17" s="7" t="inlineStr">
        <is>
          <t>High</t>
        </is>
      </c>
      <c r="C17" s="5" t="inlineStr">
        <is>
          <t>Push notifications</t>
        </is>
      </c>
      <c r="D17" s="5" t="inlineStr">
        <is>
          <t>Push is fire-and-forget</t>
        </is>
      </c>
      <c r="E17" s="5" t="inlineStr">
        <is>
          <t>Single net.http_post from trigger; errors swallowed; no retry; no 100-message chunking; DeviceNotRegistered tokens never cleaned; rupee sign hardcoded.</t>
        </is>
      </c>
      <c r="F17" s="5" t="inlineStr">
        <is>
          <t>supabase/migrations/0016_push.sql:150</t>
        </is>
      </c>
      <c r="G17" s="5" t="inlineStr">
        <is>
          <t>Lost notifications, invisible failures, growing dead-token list.</t>
        </is>
      </c>
      <c r="H17" s="5" t="inlineStr">
        <is>
          <t>Queue table + worker (pg_cron or Edge Function) with batching, retries, receipt checks and token cleanup.</t>
        </is>
      </c>
      <c r="I17" s="5" t="inlineStr">
        <is>
          <t>M</t>
        </is>
      </c>
      <c r="J17" s="15" t="inlineStr">
        <is>
          <t>Open</t>
        </is>
      </c>
      <c r="K17" s="15" t="inlineStr"/>
      <c r="L17" s="16" t="inlineStr"/>
      <c r="M17" s="15" t="inlineStr"/>
    </row>
    <row r="18">
      <c r="A18" s="5" t="inlineStr">
        <is>
          <t>H6</t>
        </is>
      </c>
      <c r="B18" s="7" t="inlineStr">
        <is>
          <t>High</t>
        </is>
      </c>
      <c r="C18" s="5" t="inlineStr">
        <is>
          <t>Push / Privacy</t>
        </is>
      </c>
      <c r="D18" s="5" t="inlineStr">
        <is>
          <t>Sign-out does not unregister push token</t>
        </is>
      </c>
      <c r="E18" s="5" t="inlineStr">
        <is>
          <t>unregister_push_token RPC exists but nothing calls it.</t>
        </is>
      </c>
      <c r="F18" s="5" t="inlineStr">
        <is>
          <t>src/lib/session.tsx:313</t>
        </is>
      </c>
      <c r="G18" s="5" t="inlineStr">
        <is>
          <t>Signed-out phone keeps receiving the household's notifications.</t>
        </is>
      </c>
      <c r="H18" s="5" t="inlineStr">
        <is>
          <t>Call unregister_push_token before signOut.</t>
        </is>
      </c>
      <c r="I18" s="5" t="inlineStr">
        <is>
          <t>S</t>
        </is>
      </c>
      <c r="J18" s="15" t="inlineStr">
        <is>
          <t>Open</t>
        </is>
      </c>
      <c r="K18" s="15" t="inlineStr"/>
      <c r="L18" s="16" t="inlineStr"/>
      <c r="M18" s="15" t="inlineStr"/>
    </row>
    <row r="19">
      <c r="A19" s="5" t="inlineStr">
        <is>
          <t>H7</t>
        </is>
      </c>
      <c r="B19" s="7" t="inlineStr">
        <is>
          <t>High</t>
        </is>
      </c>
      <c r="C19" s="5" t="inlineStr">
        <is>
          <t>Backend jobs</t>
        </is>
      </c>
      <c r="D19" s="5" t="inlineStr">
        <is>
          <t>Recurring expenses only post when someone opens the app</t>
        </is>
      </c>
      <c r="E19" s="5" t="inlineStr">
        <is>
          <t>No pg_cron schedule; posting triggered from home screen; failures swallowed.</t>
        </is>
      </c>
      <c r="F19" s="5" t="inlineStr">
        <is>
          <t>src/app/(app)/(tabs)/index.tsx:157; 0030</t>
        </is>
      </c>
      <c r="G19" s="5" t="inlineStr">
        <is>
          <t>Rent/bills post late; notifications delayed.</t>
        </is>
      </c>
      <c r="H19" s="5" t="inlineStr">
        <is>
          <t>Schedule post_due_recurrences with pg_cron daily; log failures.</t>
        </is>
      </c>
      <c r="I19" s="5" t="inlineStr">
        <is>
          <t>S</t>
        </is>
      </c>
      <c r="J19" s="15" t="inlineStr">
        <is>
          <t>Open</t>
        </is>
      </c>
      <c r="K19" s="15" t="inlineStr"/>
      <c r="L19" s="16" t="inlineStr"/>
      <c r="M19" s="15" t="inlineStr"/>
    </row>
    <row r="20">
      <c r="A20" s="5" t="inlineStr">
        <is>
          <t>H8</t>
        </is>
      </c>
      <c r="B20" s="7" t="inlineStr">
        <is>
          <t>High</t>
        </is>
      </c>
      <c r="C20" s="5" t="inlineStr">
        <is>
          <t>Security / Abuse</t>
        </is>
      </c>
      <c r="D20" s="5" t="inlineStr">
        <is>
          <t>No rate limiting or input limits</t>
        </is>
      </c>
      <c r="E20" s="5" t="inlineStr">
        <is>
          <t>Invite codes 6 chars via random() (not cryptographically secure), brute-forceable; preview_invite leaks household name; no CAPTCHA on sign-up; no text length caps; no max amount; unvalidated currency code.</t>
        </is>
      </c>
      <c r="F20" s="5" t="inlineStr">
        <is>
          <t>supabase/migrations/0004_functions.sql:86-157; schema</t>
        </is>
      </c>
      <c r="G20" s="5" t="inlineStr">
        <is>
          <t>Household takeover attempts, spam accounts, oversized data, overflow in formatting.</t>
        </is>
      </c>
      <c r="H20" s="5" t="inlineStr">
        <is>
          <t>gen_random_bytes codes (8+ chars), attempt throttling table, Supabase CAPTCHA (hCaptcha/Turnstile), CHECK constraints on lengths and amounts.</t>
        </is>
      </c>
      <c r="I20" s="5" t="inlineStr">
        <is>
          <t>M</t>
        </is>
      </c>
      <c r="J20" s="15" t="inlineStr">
        <is>
          <t>Open</t>
        </is>
      </c>
      <c r="K20" s="15" t="inlineStr"/>
      <c r="L20" s="16" t="inlineStr"/>
      <c r="M20" s="15" t="inlineStr"/>
    </row>
    <row r="21">
      <c r="A21" s="5" t="inlineStr">
        <is>
          <t>H9</t>
        </is>
      </c>
      <c r="B21" s="7" t="inlineStr">
        <is>
          <t>High</t>
        </is>
      </c>
      <c r="C21" s="5" t="inlineStr">
        <is>
          <t>DevOps</t>
        </is>
      </c>
      <c r="D21" s="5" t="inlineStr">
        <is>
          <t>Single environment, manual migrations</t>
        </is>
      </c>
      <c r="E21" s="5" t="inlineStr">
        <is>
          <t>One Supabase project; migrations pasted into SQL Editor with no record of what is applied.</t>
        </is>
      </c>
      <c r="F21" s="5" t="inlineStr">
        <is>
          <t>supabase/; .env.example</t>
        </is>
      </c>
      <c r="G21" s="5" t="inlineStr">
        <is>
          <t>Untested changes hit production; drift between environments.</t>
        </is>
      </c>
      <c r="H21" s="5" t="inlineStr">
        <is>
          <t>Adopt Supabase CLI (config.toml, supabase db push); separate staging and production projects.</t>
        </is>
      </c>
      <c r="I21" s="5" t="inlineStr">
        <is>
          <t>M</t>
        </is>
      </c>
      <c r="J21" s="15" t="inlineStr">
        <is>
          <t>Open</t>
        </is>
      </c>
      <c r="K21" s="15" t="inlineStr"/>
      <c r="L21" s="16" t="inlineStr"/>
      <c r="M21" s="15" t="inlineStr"/>
    </row>
    <row r="22">
      <c r="A22" s="5" t="inlineStr">
        <is>
          <t>H10</t>
        </is>
      </c>
      <c r="B22" s="7" t="inlineStr">
        <is>
          <t>High</t>
        </is>
      </c>
      <c r="C22" s="5" t="inlineStr">
        <is>
          <t>Release</t>
        </is>
      </c>
      <c r="D22" s="5" t="inlineStr">
        <is>
          <t>Test builds receive production OTA updates</t>
        </is>
      </c>
      <c r="E22" s="5" t="inlineStr">
        <is>
          <t>preview profile uses channel 'production'; app.json hardcodes expo-channel-name header.</t>
        </is>
      </c>
      <c r="F22" s="5" t="inlineStr">
        <is>
          <t>eas.json; app.json</t>
        </is>
      </c>
      <c r="G22" s="5" t="inlineStr">
        <is>
          <t>Testing updates reach real users, or vice versa.</t>
        </is>
      </c>
      <c r="H22" s="5" t="inlineStr">
        <is>
          <t>Separate preview/production channels; remove hardcoded request header.</t>
        </is>
      </c>
      <c r="I22" s="5" t="inlineStr">
        <is>
          <t>S</t>
        </is>
      </c>
      <c r="J22" s="15" t="inlineStr">
        <is>
          <t>Open</t>
        </is>
      </c>
      <c r="K22" s="15" t="inlineStr"/>
      <c r="L22" s="16" t="inlineStr"/>
      <c r="M22" s="15" t="inlineStr"/>
    </row>
    <row r="23">
      <c r="A23" s="5" t="inlineStr">
        <is>
          <t>H11</t>
        </is>
      </c>
      <c r="B23" s="7" t="inlineStr">
        <is>
          <t>High</t>
        </is>
      </c>
      <c r="C23" s="5" t="inlineStr">
        <is>
          <t>Build</t>
        </is>
      </c>
      <c r="D23" s="5" t="inlineStr">
        <is>
          <t>Android size settings only in local android/ folder</t>
        </is>
      </c>
      <c r="E23" s="5" t="inlineStr">
        <is>
          <t>arm64-only, minify, shrinkResources set by hand; android/ is gitignored, so EAS builds lose them.</t>
        </is>
      </c>
      <c r="F23" s="5" t="inlineStr">
        <is>
          <t>scripts/rebuild-native.mjs</t>
        </is>
      </c>
      <c r="G23" s="5" t="inlineStr">
        <is>
          <t>EAS APK/AAB ~3x larger.</t>
        </is>
      </c>
      <c r="H23" s="5" t="inlineStr">
        <is>
          <t>Move settings to expo-build-properties plugin (note: Play AAB handles ABI splits automatically).</t>
        </is>
      </c>
      <c r="I23" s="5" t="inlineStr">
        <is>
          <t>S</t>
        </is>
      </c>
      <c r="J23" s="15" t="inlineStr">
        <is>
          <t>Open</t>
        </is>
      </c>
      <c r="K23" s="15" t="inlineStr"/>
      <c r="L23" s="16" t="inlineStr"/>
      <c r="M23" s="15" t="inlineStr"/>
    </row>
    <row r="24">
      <c r="A24" s="5" t="inlineStr">
        <is>
          <t>H12</t>
        </is>
      </c>
      <c r="B24" s="7" t="inlineStr">
        <is>
          <t>High</t>
        </is>
      </c>
      <c r="C24" s="5" t="inlineStr">
        <is>
          <t>DevOps</t>
        </is>
      </c>
      <c r="D24" s="5" t="inlineStr">
        <is>
          <t>No CI pipeline</t>
        </is>
      </c>
      <c r="E24" s="5" t="inlineStr">
        <is>
          <t>No .github/workflows or EAS workflows; lint/typecheck/tests run manually.</t>
        </is>
      </c>
      <c r="F24" s="5" t="inlineStr">
        <is>
          <t>repo root</t>
        </is>
      </c>
      <c r="G24" s="5" t="inlineStr">
        <is>
          <t>Regressions ship unnoticed.</t>
        </is>
      </c>
      <c r="H24" s="5" t="inlineStr">
        <is>
          <t>GitHub Actions: lint, typecheck, npm test on every PR; EAS build on main.</t>
        </is>
      </c>
      <c r="I24" s="5" t="inlineStr">
        <is>
          <t>S</t>
        </is>
      </c>
      <c r="J24" s="15" t="inlineStr">
        <is>
          <t>Open</t>
        </is>
      </c>
      <c r="K24" s="15" t="inlineStr"/>
      <c r="L24" s="16" t="inlineStr"/>
      <c r="M24" s="15" t="inlineStr"/>
    </row>
    <row r="25">
      <c r="A25" s="5" t="inlineStr">
        <is>
          <t>H13</t>
        </is>
      </c>
      <c r="B25" s="7" t="inlineStr">
        <is>
          <t>High</t>
        </is>
      </c>
      <c r="C25" s="5" t="inlineStr">
        <is>
          <t>Security (client)</t>
        </is>
      </c>
      <c r="D25" s="5" t="inlineStr">
        <is>
          <t>Auth tokens in plain AsyncStorage</t>
        </is>
      </c>
      <c r="E25" s="5" t="inlineStr">
        <is>
          <t>Supabase session persisted to AsyncStorage instead of secure storage.</t>
        </is>
      </c>
      <c r="F25" s="5" t="inlineStr">
        <is>
          <t>src/lib/supabase.ts:16</t>
        </is>
      </c>
      <c r="G25" s="5" t="inlineStr">
        <is>
          <t>Tokens readable on rooted/jailbroken devices or from backups.</t>
        </is>
      </c>
      <c r="H25" s="5" t="inlineStr">
        <is>
          <t>Use expo-secure-store adapter (chunked, since sessions exceed 2KB) or encrypted storage.</t>
        </is>
      </c>
      <c r="I25" s="5" t="inlineStr">
        <is>
          <t>S</t>
        </is>
      </c>
      <c r="J25" s="15" t="inlineStr">
        <is>
          <t>Open</t>
        </is>
      </c>
      <c r="K25" s="15" t="inlineStr"/>
      <c r="L25" s="16" t="inlineStr"/>
      <c r="M25" s="15" t="inlineStr"/>
    </row>
    <row r="26">
      <c r="A26" s="5" t="inlineStr">
        <is>
          <t>H14</t>
        </is>
      </c>
      <c r="B26" s="7" t="inlineStr">
        <is>
          <t>High</t>
        </is>
      </c>
      <c r="C26" s="5" t="inlineStr">
        <is>
          <t>Privacy / Data</t>
        </is>
      </c>
      <c r="D26" s="5" t="inlineStr">
        <is>
          <t>Personal data retained after user deletion; unbounded growth</t>
        </is>
      </c>
      <c r="E26" s="5" t="inlineStr">
        <is>
          <t>Deleting auth user only nulls members.user_id; names and emails in join_requests remain. audit_log stores full JSON forever; notifications grow forever.</t>
        </is>
      </c>
      <c r="F26" s="5" t="inlineStr">
        <is>
          <t>0001_schema.sql:33; 0021_audit_config_tables.sql</t>
        </is>
      </c>
      <c r="G26" s="5" t="inlineStr">
        <is>
          <t>Privacy-law non-compliance; storage growth.</t>
        </is>
      </c>
      <c r="H26" s="5" t="inlineStr">
        <is>
          <t>Anonymise on deletion; retention policy / partitioning for audit_log and notifications.</t>
        </is>
      </c>
      <c r="I26" s="5" t="inlineStr">
        <is>
          <t>M</t>
        </is>
      </c>
      <c r="J26" s="15" t="inlineStr">
        <is>
          <t>Open</t>
        </is>
      </c>
      <c r="K26" s="15" t="inlineStr"/>
      <c r="L26" s="16" t="inlineStr"/>
      <c r="M26" s="15" t="inlineStr"/>
    </row>
    <row r="27">
      <c r="A27" s="5" t="inlineStr">
        <is>
          <t>M1</t>
        </is>
      </c>
      <c r="B27" s="8" t="inlineStr">
        <is>
          <t>Medium</t>
        </is>
      </c>
      <c r="C27" s="5" t="inlineStr">
        <is>
          <t>Internationalization</t>
        </is>
      </c>
      <c r="D27" s="5" t="inlineStr">
        <is>
          <t>India-only currency and locale</t>
        </is>
      </c>
      <c r="E27" s="5" t="inlineStr">
        <is>
          <t>INR, en-IN, rupee symbol and 'GPay' hardcoded; formatting ignores households.currency; database timezone set to Asia/Kolkata.</t>
        </is>
      </c>
      <c r="F27" s="5" t="inlineStr">
        <is>
          <t>src/lib/money.ts:23-49; dates.ts:41; 0030:88</t>
        </is>
      </c>
      <c r="G27" s="5" t="inlineStr">
        <is>
          <t>Wrong output for any non-Indian household.</t>
        </is>
      </c>
      <c r="H27" s="5" t="inlineStr">
        <is>
          <t>Format with household currency; keep DB in UTC; let owners set household timezone.</t>
        </is>
      </c>
      <c r="I27" s="5" t="inlineStr">
        <is>
          <t>M</t>
        </is>
      </c>
      <c r="J27" s="15" t="inlineStr">
        <is>
          <t>Open</t>
        </is>
      </c>
      <c r="K27" s="15" t="inlineStr"/>
      <c r="L27" s="16" t="inlineStr"/>
      <c r="M27" s="15" t="inlineStr"/>
    </row>
    <row r="28">
      <c r="A28" s="5" t="inlineStr">
        <is>
          <t>M2</t>
        </is>
      </c>
      <c r="B28" s="8" t="inlineStr">
        <is>
          <t>Medium</t>
        </is>
      </c>
      <c r="C28" s="5" t="inlineStr">
        <is>
          <t>Internationalization</t>
        </is>
      </c>
      <c r="D28" s="5" t="inlineStr">
        <is>
          <t>No translations</t>
        </is>
      </c>
      <c r="E28" s="5" t="inlineStr">
        <is>
          <t>All UI strings hardcoded English; no expo-localization or i18n library.</t>
        </is>
      </c>
      <c r="F28" s="5" t="inlineStr">
        <is>
          <t>src/</t>
        </is>
      </c>
      <c r="G28" s="5" t="inlineStr">
        <is>
          <t>Limits markets.</t>
        </is>
      </c>
      <c r="H28" s="5" t="inlineStr">
        <is>
          <t>Extract strings to i18n (i18next / lingui) with expo-localization.</t>
        </is>
      </c>
      <c r="I28" s="5" t="inlineStr">
        <is>
          <t>L</t>
        </is>
      </c>
      <c r="J28" s="15" t="inlineStr">
        <is>
          <t>Open</t>
        </is>
      </c>
      <c r="K28" s="15" t="inlineStr"/>
      <c r="L28" s="16" t="inlineStr"/>
      <c r="M28" s="15" t="inlineStr"/>
    </row>
    <row r="29">
      <c r="A29" s="5" t="inlineStr">
        <is>
          <t>M3</t>
        </is>
      </c>
      <c r="B29" s="8" t="inlineStr">
        <is>
          <t>Medium</t>
        </is>
      </c>
      <c r="C29" s="5" t="inlineStr">
        <is>
          <t>Deep linking</t>
        </is>
      </c>
      <c r="D29" s="5" t="inlineStr">
        <is>
          <t>Only roomly:// scheme links</t>
        </is>
      </c>
      <c r="E29" s="5" t="inlineStr">
        <is>
          <t>No associatedDomains / Android intentFilters; invites are typed codes, not links.</t>
        </is>
      </c>
      <c r="F29" s="5" t="inlineStr">
        <is>
          <t>app.json; forgot-password.tsx</t>
        </is>
      </c>
      <c r="G29" s="5" t="inlineStr">
        <is>
          <t>Reset links fail on desktop and some mail apps; harder invites.</t>
        </is>
      </c>
      <c r="H29" s="5" t="inlineStr">
        <is>
          <t>Add https Universal Links / App Links and shareable invite URLs.</t>
        </is>
      </c>
      <c r="I29" s="5" t="inlineStr">
        <is>
          <t>M</t>
        </is>
      </c>
      <c r="J29" s="15" t="inlineStr">
        <is>
          <t>Open</t>
        </is>
      </c>
      <c r="K29" s="15" t="inlineStr"/>
      <c r="L29" s="16" t="inlineStr"/>
      <c r="M29" s="15" t="inlineStr"/>
    </row>
    <row r="30">
      <c r="A30" s="5" t="inlineStr">
        <is>
          <t>M4</t>
        </is>
      </c>
      <c r="B30" s="8" t="inlineStr">
        <is>
          <t>Medium</t>
        </is>
      </c>
      <c r="C30" s="5" t="inlineStr">
        <is>
          <t>Release</t>
        </is>
      </c>
      <c r="D30" s="5" t="inlineStr">
        <is>
          <t>No forced update or feature flags</t>
        </is>
      </c>
      <c r="E30" s="5" t="inlineStr">
        <is>
          <t>No minimum-version gate; 0022 already broke older builds once.</t>
        </is>
      </c>
      <c r="F30" s="5" t="inlineStr">
        <is>
          <t>src/lib/build-info.ts</t>
        </is>
      </c>
      <c r="G30" s="5" t="inlineStr">
        <is>
          <t>Cannot block an outdated build after a breaking migration.</t>
        </is>
      </c>
      <c r="H30" s="5" t="inlineStr">
        <is>
          <t>Server-side min_version config checked on launch; feature flag table or service.</t>
        </is>
      </c>
      <c r="I30" s="5" t="inlineStr">
        <is>
          <t>S</t>
        </is>
      </c>
      <c r="J30" s="15" t="inlineStr">
        <is>
          <t>Open</t>
        </is>
      </c>
      <c r="K30" s="15" t="inlineStr"/>
      <c r="L30" s="16" t="inlineStr"/>
      <c r="M30" s="15" t="inlineStr"/>
    </row>
    <row r="31">
      <c r="A31" s="5" t="inlineStr">
        <is>
          <t>M5</t>
        </is>
      </c>
      <c r="B31" s="8" t="inlineStr">
        <is>
          <t>Medium</t>
        </is>
      </c>
      <c r="C31" s="5" t="inlineStr">
        <is>
          <t>Offline</t>
        </is>
      </c>
      <c r="D31" s="5" t="inlineStr">
        <is>
          <t>Only 'add expense' works offline</t>
        </is>
      </c>
      <c r="E31" s="5" t="inlineStr">
        <is>
          <t>Edits and settlements need network; offline detected by regex on error text; outbox not scoped per user.</t>
        </is>
      </c>
      <c r="F31" s="5" t="inlineStr">
        <is>
          <t>src/lib/outbox.ts; sync.tsx:50</t>
        </is>
      </c>
      <c r="G31" s="5" t="inlineStr">
        <is>
          <t>Poor experience on flaky networks.</t>
        </is>
      </c>
      <c r="H31" s="5" t="inlineStr">
        <is>
          <t>Queue edits/settlements; use expo-network state; scope outbox per user.</t>
        </is>
      </c>
      <c r="I31" s="5" t="inlineStr">
        <is>
          <t>M</t>
        </is>
      </c>
      <c r="J31" s="15" t="inlineStr">
        <is>
          <t>Open</t>
        </is>
      </c>
      <c r="K31" s="15" t="inlineStr"/>
      <c r="L31" s="16" t="inlineStr"/>
      <c r="M31" s="15" t="inlineStr"/>
    </row>
    <row r="32">
      <c r="A32" s="5" t="inlineStr">
        <is>
          <t>M6</t>
        </is>
      </c>
      <c r="B32" s="8" t="inlineStr">
        <is>
          <t>Medium</t>
        </is>
      </c>
      <c r="C32" s="5" t="inlineStr">
        <is>
          <t>Accessibility</t>
        </is>
      </c>
      <c r="D32" s="5" t="inlineStr">
        <is>
          <t>Thin accessibility support</t>
        </is>
      </c>
      <c r="E32" s="5" t="inlineStr">
        <is>
          <t>57 labels across ~35 screens; settings rows and sign-out lack roles; large-font layout untested.</t>
        </is>
      </c>
      <c r="F32" s="5" t="inlineStr">
        <is>
          <t>src/</t>
        </is>
      </c>
      <c r="G32" s="5" t="inlineStr">
        <is>
          <t>Excludes users; accessibility complaints.</t>
        </is>
      </c>
      <c r="H32" s="5" t="inlineStr">
        <is>
          <t>Label all controls, test VoiceOver/TalkBack and 200% font scale, verify contrast.</t>
        </is>
      </c>
      <c r="I32" s="5" t="inlineStr">
        <is>
          <t>M</t>
        </is>
      </c>
      <c r="J32" s="15" t="inlineStr">
        <is>
          <t>Open</t>
        </is>
      </c>
      <c r="K32" s="15" t="inlineStr"/>
      <c r="L32" s="16" t="inlineStr"/>
      <c r="M32" s="15" t="inlineStr"/>
    </row>
    <row r="33">
      <c r="A33" s="5" t="inlineStr">
        <is>
          <t>M7</t>
        </is>
      </c>
      <c r="B33" s="8" t="inlineStr">
        <is>
          <t>Medium</t>
        </is>
      </c>
      <c r="C33" s="5" t="inlineStr">
        <is>
          <t>Product</t>
        </is>
      </c>
      <c r="D33" s="5" t="inlineStr">
        <is>
          <t>No product analytics</t>
        </is>
      </c>
      <c r="E33" s="5" t="inlineStr">
        <is>
          <t>No analytics SDK.</t>
        </is>
      </c>
      <c r="F33" s="5" t="inlineStr">
        <is>
          <t>package.json</t>
        </is>
      </c>
      <c r="G33" s="5" t="inlineStr">
        <is>
          <t>Cannot measure activation, retention or funnels.</t>
        </is>
      </c>
      <c r="H33" s="5" t="inlineStr">
        <is>
          <t>Add PostHog / Amplitude with privacy-respecting events; disclose in privacy labels.</t>
        </is>
      </c>
      <c r="I33" s="5" t="inlineStr">
        <is>
          <t>S</t>
        </is>
      </c>
      <c r="J33" s="15" t="inlineStr">
        <is>
          <t>Open</t>
        </is>
      </c>
      <c r="K33" s="15" t="inlineStr"/>
      <c r="L33" s="16" t="inlineStr"/>
      <c r="M33" s="15" t="inlineStr"/>
    </row>
    <row r="34">
      <c r="A34" s="5" t="inlineStr">
        <is>
          <t>M8</t>
        </is>
      </c>
      <c r="B34" s="8" t="inlineStr">
        <is>
          <t>Medium</t>
        </is>
      </c>
      <c r="C34" s="5" t="inlineStr">
        <is>
          <t>Support</t>
        </is>
      </c>
      <c r="D34" s="5" t="inlineStr">
        <is>
          <t>No support, FAQ or rate-app prompt</t>
        </is>
      </c>
      <c r="E34" s="5" t="inlineStr">
        <is>
          <t>More menu has none; no expo-store-review.</t>
        </is>
      </c>
      <c r="F34" s="5" t="inlineStr">
        <is>
          <t>src/app/(app)/(tabs)/more.tsx</t>
        </is>
      </c>
      <c r="G34" s="5" t="inlineStr">
        <is>
          <t>Users cannot reach you; fewer store ratings.</t>
        </is>
      </c>
      <c r="H34" s="5" t="inlineStr">
        <is>
          <t>Add Help/FAQ, contact email, in-app review prompt after positive moments.</t>
        </is>
      </c>
      <c r="I34" s="5" t="inlineStr">
        <is>
          <t>S</t>
        </is>
      </c>
      <c r="J34" s="15" t="inlineStr">
        <is>
          <t>Open</t>
        </is>
      </c>
      <c r="K34" s="15" t="inlineStr"/>
      <c r="L34" s="16" t="inlineStr"/>
      <c r="M34" s="15" t="inlineStr"/>
    </row>
    <row r="35">
      <c r="A35" s="5" t="inlineStr">
        <is>
          <t>M9</t>
        </is>
      </c>
      <c r="B35" s="8" t="inlineStr">
        <is>
          <t>Medium</t>
        </is>
      </c>
      <c r="C35" s="5" t="inlineStr">
        <is>
          <t>Push UX</t>
        </is>
      </c>
      <c r="D35" s="5" t="inlineStr">
        <is>
          <t>Permission asked immediately; taps do nothing</t>
        </is>
      </c>
      <c r="E35" s="5" t="inlineStr">
        <is>
          <t>OS prompt shown with no explanation; no notification response handler.</t>
        </is>
      </c>
      <c r="F35" s="5" t="inlineStr">
        <is>
          <t>src/lib/push.ts:129</t>
        </is>
      </c>
      <c r="G35" s="5" t="inlineStr">
        <is>
          <t>More denials; tapping a push does not open the item.</t>
        </is>
      </c>
      <c r="H35" s="5" t="inlineStr">
        <is>
          <t>Pre-permission explainer screen; route on notification tap using data.kind/entityId.</t>
        </is>
      </c>
      <c r="I35" s="5" t="inlineStr">
        <is>
          <t>S</t>
        </is>
      </c>
      <c r="J35" s="15" t="inlineStr">
        <is>
          <t>Open</t>
        </is>
      </c>
      <c r="K35" s="15" t="inlineStr"/>
      <c r="L35" s="16" t="inlineStr"/>
      <c r="M35" s="15" t="inlineStr"/>
    </row>
    <row r="36">
      <c r="A36" s="5" t="inlineStr">
        <is>
          <t>M10</t>
        </is>
      </c>
      <c r="B36" s="8" t="inlineStr">
        <is>
          <t>Medium</t>
        </is>
      </c>
      <c r="C36" s="5" t="inlineStr">
        <is>
          <t>Testing</t>
        </is>
      </c>
      <c r="D36" s="5" t="inlineStr">
        <is>
          <t>No end-to-end UI tests</t>
        </is>
      </c>
      <c r="E36" s="5" t="inlineStr">
        <is>
          <t>Only domain/structure/security tests plus manual checklist; no Maestro/Detox, no component tests.</t>
        </is>
      </c>
      <c r="F36" s="5" t="inlineStr">
        <is>
          <t>tests/</t>
        </is>
      </c>
      <c r="G36" s="5" t="inlineStr">
        <is>
          <t>Key flows regress unnoticed.</t>
        </is>
      </c>
      <c r="H36" s="5" t="inlineStr">
        <is>
          <t>Maestro flows for sign-up, add expense, settle, close month; run in CI on EAS builds.</t>
        </is>
      </c>
      <c r="I36" s="5" t="inlineStr">
        <is>
          <t>M</t>
        </is>
      </c>
      <c r="J36" s="15" t="inlineStr">
        <is>
          <t>Open</t>
        </is>
      </c>
      <c r="K36" s="15" t="inlineStr"/>
      <c r="L36" s="16" t="inlineStr"/>
      <c r="M36" s="15" t="inlineStr"/>
    </row>
    <row r="37">
      <c r="A37" s="5" t="inlineStr">
        <is>
          <t>M11</t>
        </is>
      </c>
      <c r="B37" s="8" t="inlineStr">
        <is>
          <t>Medium</t>
        </is>
      </c>
      <c r="C37" s="5" t="inlineStr">
        <is>
          <t>Performance</t>
        </is>
      </c>
      <c r="D37" s="5" t="inlineStr">
        <is>
          <t>Long lists rendered in ScrollView</t>
        </is>
      </c>
      <c r="E37" s="5" t="inlineStr">
        <is>
          <t>Home is one ScrollView with ~14 .map() calls; settle.tsx (1080 lines), recurring, reports similar.</t>
        </is>
      </c>
      <c r="F37" s="5" t="inlineStr">
        <is>
          <t>src/app/(app)/(tabs)/index.tsx:290-768; settle.tsx</t>
        </is>
      </c>
      <c r="G37" s="5" t="inlineStr">
        <is>
          <t>Slow rendering for large households.</t>
        </is>
      </c>
      <c r="H37" s="5" t="inlineStr">
        <is>
          <t>Use FlatList/FlashList; split large screens into components.</t>
        </is>
      </c>
      <c r="I37" s="5" t="inlineStr">
        <is>
          <t>M</t>
        </is>
      </c>
      <c r="J37" s="15" t="inlineStr">
        <is>
          <t>Open</t>
        </is>
      </c>
      <c r="K37" s="15" t="inlineStr"/>
      <c r="L37" s="16" t="inlineStr"/>
      <c r="M37" s="15" t="inlineStr"/>
    </row>
    <row r="38">
      <c r="A38" s="5" t="inlineStr">
        <is>
          <t>L1</t>
        </is>
      </c>
      <c r="B38" s="9" t="inlineStr">
        <is>
          <t>Low</t>
        </is>
      </c>
      <c r="C38" s="5" t="inlineStr">
        <is>
          <t>Cleanup</t>
        </is>
      </c>
      <c r="D38" s="5" t="inlineStr">
        <is>
          <t>Template leftovers</t>
        </is>
      </c>
      <c r="E38" s="5" t="inlineStr">
        <is>
          <t>reset-project.js and npm script; unused react-logo / expo-badge / tutorial-web images; unused deps (react-hook-form, @expo/ui, expo-glass-effect; verify expo-symbols, expo-web-browser first).</t>
        </is>
      </c>
      <c r="F38" s="5" t="inlineStr">
        <is>
          <t>scripts/; assets/images; package.json</t>
        </is>
      </c>
      <c r="G38" s="5" t="inlineStr">
        <is>
          <t>Bundle size and confusion.</t>
        </is>
      </c>
      <c r="H38" s="5" t="inlineStr">
        <is>
          <t>Remove unused files and dependencies.</t>
        </is>
      </c>
      <c r="I38" s="5" t="inlineStr">
        <is>
          <t>S</t>
        </is>
      </c>
      <c r="J38" s="15" t="inlineStr">
        <is>
          <t>Open</t>
        </is>
      </c>
      <c r="K38" s="15" t="inlineStr"/>
      <c r="L38" s="16" t="inlineStr"/>
      <c r="M38" s="15" t="inlineStr"/>
    </row>
    <row r="39">
      <c r="A39" s="5" t="inlineStr">
        <is>
          <t>L2</t>
        </is>
      </c>
      <c r="B39" s="9" t="inlineStr">
        <is>
          <t>Low</t>
        </is>
      </c>
      <c r="C39" s="5" t="inlineStr">
        <is>
          <t>Scope</t>
        </is>
      </c>
      <c r="D39" s="5" t="inlineStr">
        <is>
          <t>Web target undecided</t>
        </is>
      </c>
      <c r="E39" s="5" t="inlineStr">
        <is>
          <t>web.output configured and react-native-web/react-dom installed, but no web-specific product work.</t>
        </is>
      </c>
      <c r="F39" s="5" t="inlineStr">
        <is>
          <t>app.json; package.json</t>
        </is>
      </c>
      <c r="G39" s="5" t="inlineStr">
        <is>
          <t>Extra surface to test and maintain.</t>
        </is>
      </c>
      <c r="H39" s="5" t="inlineStr">
        <is>
          <t>Decide: ship web properly or remove it.</t>
        </is>
      </c>
      <c r="I39" s="5" t="inlineStr">
        <is>
          <t>S</t>
        </is>
      </c>
      <c r="J39" s="15" t="inlineStr">
        <is>
          <t>Open</t>
        </is>
      </c>
      <c r="K39" s="15" t="inlineStr"/>
      <c r="L39" s="16" t="inlineStr"/>
      <c r="M39" s="15" t="inlineStr"/>
    </row>
    <row r="40">
      <c r="A40" s="5" t="inlineStr">
        <is>
          <t>L3</t>
        </is>
      </c>
      <c r="B40" s="9" t="inlineStr">
        <is>
          <t>Low</t>
        </is>
      </c>
      <c r="C40" s="5" t="inlineStr">
        <is>
          <t>Release</t>
        </is>
      </c>
      <c r="D40" s="5" t="inlineStr">
        <is>
          <t>Build number mismatch</t>
        </is>
      </c>
      <c r="E40" s="5" t="inlineStr">
        <is>
          <t>extra.buildNumber is 9, iOS buildNumber / Android versionCode are 10.</t>
        </is>
      </c>
      <c r="F40" s="5" t="inlineStr">
        <is>
          <t>app.json</t>
        </is>
      </c>
      <c r="G40" s="5" t="inlineStr">
        <is>
          <t>Wrong version shown in app.</t>
        </is>
      </c>
      <c r="H40" s="5" t="inlineStr">
        <is>
          <t>Use EAS remote versioning with autoIncrement.</t>
        </is>
      </c>
      <c r="I40" s="5" t="inlineStr">
        <is>
          <t>S</t>
        </is>
      </c>
      <c r="J40" s="15" t="inlineStr">
        <is>
          <t>Open</t>
        </is>
      </c>
      <c r="K40" s="15" t="inlineStr"/>
      <c r="L40" s="16" t="inlineStr"/>
      <c r="M40" s="15" t="inlineStr"/>
    </row>
    <row r="41">
      <c r="A41" s="5" t="inlineStr">
        <is>
          <t>L4</t>
        </is>
      </c>
      <c r="B41" s="9" t="inlineStr">
        <is>
          <t>Low</t>
        </is>
      </c>
      <c r="C41" s="5" t="inlineStr">
        <is>
          <t>Legal</t>
        </is>
      </c>
      <c r="D41" s="5" t="inlineStr">
        <is>
          <t>LICENSE names Expo as copyright holder</t>
        </is>
      </c>
      <c r="E41" s="5" t="inlineStr">
        <is>
          <t>MIT template copyright '650 Industries (Expo)'.</t>
        </is>
      </c>
      <c r="F41" s="5" t="inlineStr">
        <is>
          <t>LICENSE</t>
        </is>
      </c>
      <c r="G41" s="5" t="inlineStr">
        <is>
          <t>Incorrect ownership claim.</t>
        </is>
      </c>
      <c r="H41" s="5" t="inlineStr">
        <is>
          <t>Replace with your own license or delete if closed-source.</t>
        </is>
      </c>
      <c r="I41" s="5" t="inlineStr">
        <is>
          <t>S</t>
        </is>
      </c>
      <c r="J41" s="15" t="inlineStr">
        <is>
          <t>Open</t>
        </is>
      </c>
      <c r="K41" s="15" t="inlineStr"/>
      <c r="L41" s="16" t="inlineStr"/>
      <c r="M41" s="15" t="inlineStr"/>
    </row>
    <row r="42">
      <c r="A42" s="5" t="inlineStr">
        <is>
          <t>L5</t>
        </is>
      </c>
      <c r="B42" s="9" t="inlineStr">
        <is>
          <t>Low</t>
        </is>
      </c>
      <c r="C42" s="5" t="inlineStr">
        <is>
          <t>Docs</t>
        </is>
      </c>
      <c r="D42" s="5" t="inlineStr">
        <is>
          <t>Supabase README out of date</t>
        </is>
      </c>
      <c r="E42" s="5" t="inlineStr">
        <is>
          <t>Migration table stops at 0027; repo has 0001-0033.</t>
        </is>
      </c>
      <c r="F42" s="5" t="inlineStr">
        <is>
          <t>supabase/README.md:21</t>
        </is>
      </c>
      <c r="G42" s="5" t="inlineStr">
        <is>
          <t>Setup confusion.</t>
        </is>
      </c>
      <c r="H42" s="5" t="inlineStr">
        <is>
          <t>Update table (or replace with CLI-based instructions).</t>
        </is>
      </c>
      <c r="I42" s="5" t="inlineStr">
        <is>
          <t>S</t>
        </is>
      </c>
      <c r="J42" s="15" t="inlineStr">
        <is>
          <t>Open</t>
        </is>
      </c>
      <c r="K42" s="15" t="inlineStr"/>
      <c r="L42" s="16" t="inlineStr"/>
      <c r="M42" s="15" t="inlineStr"/>
    </row>
    <row r="43">
      <c r="A43" s="5" t="inlineStr">
        <is>
          <t>L6</t>
        </is>
      </c>
      <c r="B43" s="9" t="inlineStr">
        <is>
          <t>Low</t>
        </is>
      </c>
      <c r="C43" s="5" t="inlineStr">
        <is>
          <t>UX copy</t>
        </is>
      </c>
      <c r="D43" s="5" t="inlineStr">
        <is>
          <t>Developer text visible to users</t>
        </is>
      </c>
      <c r="E43" s="5" t="inlineStr">
        <is>
          <t>Message says 'See PUSH-SETUP.md'.</t>
        </is>
      </c>
      <c r="F43" s="5" t="inlineStr">
        <is>
          <t>src/lib/push.ts:110</t>
        </is>
      </c>
      <c r="G43" s="5" t="inlineStr">
        <is>
          <t>Unprofessional.</t>
        </is>
      </c>
      <c r="H43" s="5" t="inlineStr">
        <is>
          <t>Replace with user-friendly copy.</t>
        </is>
      </c>
      <c r="I43" s="5" t="inlineStr">
        <is>
          <t>S</t>
        </is>
      </c>
      <c r="J43" s="15" t="inlineStr">
        <is>
          <t>Open</t>
        </is>
      </c>
      <c r="K43" s="15" t="inlineStr"/>
      <c r="L43" s="16" t="inlineStr"/>
      <c r="M43" s="15" t="inlineStr"/>
    </row>
  </sheetData>
  <autoFilter ref="A1:M43"/>
  <conditionalFormatting sqref="A2:M93">
    <cfRule type="expression" priority="1" dxfId="0">
      <formula>$J2="Done"</formula>
    </cfRule>
  </conditionalFormatting>
  <dataValidations count="3">
    <dataValidation sqref="J2:J93" showDropDown="0" showInputMessage="0" showErrorMessage="0" allowBlank="0" type="list">
      <formula1>"Open,In progress,Done,Won't fix"</formula1>
    </dataValidation>
    <dataValidation sqref="B2:B93" showDropDown="0" showInputMessage="0" showErrorMessage="0" allowBlank="0" type="list">
      <formula1>"Blocker,High,Medium,Low"</formula1>
    </dataValidation>
    <dataValidation sqref="I2:I93" showDropDown="0" showInputMessage="0" showErrorMessage="0" allowBlank="0" type="list">
      <formula1>"S,M,L"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24" customWidth="1" min="3" max="3"/>
  </cols>
  <sheetData>
    <row r="1" ht="22" customHeight="1">
      <c r="A1" s="14" t="inlineStr">
        <is>
          <t>Area</t>
        </is>
      </c>
      <c r="B1" s="14" t="inlineStr">
        <is>
          <t>What exists</t>
        </is>
      </c>
      <c r="C1" s="14" t="inlineStr">
        <is>
          <t>State</t>
        </is>
      </c>
    </row>
    <row r="2">
      <c r="A2" s="5" t="inlineStr">
        <is>
          <t>Authentication</t>
        </is>
      </c>
      <c r="B2" s="5" t="inlineStr">
        <is>
          <t>Email/password sign-up, email confirmation, password reset (PKCE), session auto-refresh</t>
        </is>
      </c>
      <c r="C2" s="5" t="inlineStr">
        <is>
          <t>Working</t>
        </is>
      </c>
    </row>
    <row r="3">
      <c r="A3" s="5" t="inlineStr">
        <is>
          <t>Households</t>
        </is>
      </c>
      <c r="B3" s="5" t="inlineStr">
        <is>
          <t>Create, invite codes, join approval, ownership handover, away periods, member admin</t>
        </is>
      </c>
      <c r="C3" s="5" t="inlineStr">
        <is>
          <t>Working</t>
        </is>
      </c>
    </row>
    <row r="4">
      <c r="A4" s="5" t="inlineStr">
        <is>
          <t>Expenses</t>
        </is>
      </c>
      <c r="B4" s="5" t="inlineStr">
        <is>
          <t>Equal/custom splits, categories, edit history, void/undo, search</t>
        </is>
      </c>
      <c r="C4" s="5" t="inlineStr">
        <is>
          <t>Working</t>
        </is>
      </c>
    </row>
    <row r="5">
      <c r="A5" s="5" t="inlineStr">
        <is>
          <t>Recurring expenses</t>
        </is>
      </c>
      <c r="B5" s="5" t="inlineStr">
        <is>
          <t>Idempotent posting, missed-month backfill (12 months), day 1-31</t>
        </is>
      </c>
      <c r="C5" s="5" t="inlineStr">
        <is>
          <t>Working</t>
        </is>
      </c>
    </row>
    <row r="6">
      <c r="A6" s="5" t="inlineStr">
        <is>
          <t>Settlements</t>
        </is>
      </c>
      <c r="B6" s="5" t="inlineStr">
        <is>
          <t>Pairwise balances, suggested payments, payee confirms payment</t>
        </is>
      </c>
      <c r="C6" s="5" t="inlineStr">
        <is>
          <t>Working</t>
        </is>
      </c>
    </row>
    <row r="7">
      <c r="A7" s="5" t="inlineStr">
        <is>
          <t>Monthly close</t>
        </is>
      </c>
      <c r="B7" s="5" t="inlineStr">
        <is>
          <t>Closed months locked, enforced in DB</t>
        </is>
      </c>
      <c r="C7" s="5" t="inlineStr">
        <is>
          <t>Working</t>
        </is>
      </c>
    </row>
    <row r="8">
      <c r="A8" s="5" t="inlineStr">
        <is>
          <t>Reports</t>
        </is>
      </c>
      <c r="B8" s="5" t="inlineStr">
        <is>
          <t>Charts by category and member, month statements</t>
        </is>
      </c>
      <c r="C8" s="5" t="inlineStr">
        <is>
          <t>Working</t>
        </is>
      </c>
    </row>
    <row r="9">
      <c r="A9" s="5" t="inlineStr">
        <is>
          <t>Export / backup</t>
        </is>
      </c>
      <c r="B9" s="5" t="inlineStr">
        <is>
          <t>CSV export via share sheet</t>
        </is>
      </c>
      <c r="C9" s="5" t="inlineStr">
        <is>
          <t>Working</t>
        </is>
      </c>
    </row>
    <row r="10">
      <c r="A10" s="5" t="inlineStr">
        <is>
          <t>Offline</t>
        </is>
      </c>
      <c r="B10" s="5" t="inlineStr">
        <is>
          <t>Durable outbox for new expenses with idempotent server writes; persisted query cache (7 days)</t>
        </is>
      </c>
      <c r="C10" s="5" t="inlineStr">
        <is>
          <t>Working (partial)</t>
        </is>
      </c>
    </row>
    <row r="11">
      <c r="A11" s="5" t="inlineStr">
        <is>
          <t>Notifications</t>
        </is>
      </c>
      <c r="B11" s="5" t="inlineStr">
        <is>
          <t>In-app feed with unread badge, live updates via Supabase Realtime</t>
        </is>
      </c>
      <c r="C11" s="5" t="inlineStr">
        <is>
          <t>Working</t>
        </is>
      </c>
    </row>
    <row r="12">
      <c r="A12" s="5" t="inlineStr">
        <is>
          <t>Push</t>
        </is>
      </c>
      <c r="B12" s="5" t="inlineStr">
        <is>
          <t>Token registration, Android channel, server send via pg_net</t>
        </is>
      </c>
      <c r="C12" s="5" t="inlineStr">
        <is>
          <t>Working (needs hardening)</t>
        </is>
      </c>
    </row>
    <row r="13">
      <c r="A13" s="5" t="inlineStr">
        <is>
          <t>Security</t>
        </is>
      </c>
      <c r="B13" s="5" t="inlineStr">
        <is>
          <t>Row-level security on all 18 tables; balances derived, never stored; period derived server-side</t>
        </is>
      </c>
      <c r="C13" s="5" t="inlineStr">
        <is>
          <t>Working (see B1)</t>
        </is>
      </c>
    </row>
    <row r="14">
      <c r="A14" s="5" t="inlineStr">
        <is>
          <t>Money correctness</t>
        </is>
      </c>
      <c r="B14" s="5" t="inlineStr">
        <is>
          <t>Integer paise; split balance trigger; ledger_imbalance canary</t>
        </is>
      </c>
      <c r="C14" s="5" t="inlineStr">
        <is>
          <t>Working</t>
        </is>
      </c>
    </row>
    <row r="15">
      <c r="A15" s="5" t="inlineStr">
        <is>
          <t>UI</t>
        </is>
      </c>
      <c r="B15" s="5" t="inlineStr">
        <is>
          <t>Dark mode, onboarding, empty states, custom UI kit</t>
        </is>
      </c>
      <c r="C15" s="5" t="inlineStr">
        <is>
          <t>Working</t>
        </is>
      </c>
    </row>
    <row r="16">
      <c r="A16" s="5" t="inlineStr">
        <is>
          <t>Updates</t>
        </is>
      </c>
      <c r="B16" s="5" t="inlineStr">
        <is>
          <t>expo-updates OTA, runtime version policy, manual check in Settings</t>
        </is>
      </c>
      <c r="C16" s="5" t="inlineStr">
        <is>
          <t>Working</t>
        </is>
      </c>
    </row>
    <row r="17">
      <c r="A17" s="5" t="inlineStr">
        <is>
          <t>Build</t>
        </is>
      </c>
      <c r="B17" s="5" t="inlineStr">
        <is>
          <t>EAS profiles (preview APK, production AAB), build-stamp script</t>
        </is>
      </c>
      <c r="C17" s="5" t="inlineStr">
        <is>
          <t>Working</t>
        </is>
      </c>
    </row>
    <row r="18">
      <c r="A18" s="5" t="inlineStr">
        <is>
          <t>Tests</t>
        </is>
      </c>
      <c r="B18" s="5" t="inlineStr">
        <is>
          <t>Domain, structure and security tests (~2,200 lines) + manual test plan + SQL smoke tests</t>
        </is>
      </c>
      <c r="C18" s="5" t="inlineStr">
        <is>
          <t>Working</t>
        </is>
      </c>
    </row>
    <row r="19">
      <c r="A19" s="5" t="inlineStr">
        <is>
          <t>Code hygiene</t>
        </is>
      </c>
      <c r="B19" s="5" t="inlineStr">
        <is>
          <t>No console.log, no TODO/FIXME</t>
        </is>
      </c>
      <c r="C19" s="5" t="inlineStr">
        <is>
          <t>Clean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55" customWidth="1" min="3" max="3"/>
    <col width="20" customWidth="1" min="4" max="4"/>
  </cols>
  <sheetData>
    <row r="1" ht="22" customHeight="1">
      <c r="A1" s="14" t="inlineStr">
        <is>
          <t>Area</t>
        </is>
      </c>
      <c r="B1" s="14" t="inlineStr">
        <is>
          <t>Feature</t>
        </is>
      </c>
      <c r="C1" s="14" t="inlineStr">
        <is>
          <t>Notes</t>
        </is>
      </c>
      <c r="D1" s="14" t="inlineStr">
        <is>
          <t>Decision</t>
        </is>
      </c>
    </row>
    <row r="2">
      <c r="A2" s="5" t="inlineStr">
        <is>
          <t>Monetization</t>
        </is>
      </c>
      <c r="B2" s="5" t="inlineStr">
        <is>
          <t>Subscriptions / in-app purchases (RevenueCat)</t>
        </is>
      </c>
      <c r="C2" s="5" t="inlineStr">
        <is>
          <t>Decide business model before launch</t>
        </is>
      </c>
      <c r="D2" s="15" t="inlineStr">
        <is>
          <t>Undecided</t>
        </is>
      </c>
    </row>
    <row r="3">
      <c r="A3" s="5" t="inlineStr">
        <is>
          <t>Social sign-in</t>
        </is>
      </c>
      <c r="B3" s="5" t="inlineStr">
        <is>
          <t>Google and Apple sign-in</t>
        </is>
      </c>
      <c r="C3" s="5" t="inlineStr">
        <is>
          <t>If Google is added, Sign in with Apple becomes mandatory on iOS</t>
        </is>
      </c>
      <c r="D3" s="15" t="inlineStr">
        <is>
          <t>Undecided</t>
        </is>
      </c>
    </row>
    <row r="4">
      <c r="A4" s="5" t="inlineStr">
        <is>
          <t>Receipts</t>
        </is>
      </c>
      <c r="B4" s="5" t="inlineStr">
        <is>
          <t>Receipt photo capture and storage</t>
        </is>
      </c>
      <c r="C4" s="5" t="inlineStr">
        <is>
          <t>Needs camera/photos permission strings and Storage bucket with RLS</t>
        </is>
      </c>
      <c r="D4" s="15" t="inlineStr">
        <is>
          <t>Undecided</t>
        </is>
      </c>
    </row>
    <row r="5">
      <c r="A5" s="5" t="inlineStr">
        <is>
          <t>Payments</t>
        </is>
      </c>
      <c r="B5" s="5" t="inlineStr">
        <is>
          <t>UPI / payment app deep links to settle</t>
        </is>
      </c>
      <c r="C5" s="5" t="inlineStr">
        <is>
          <t>Common expectation in India</t>
        </is>
      </c>
      <c r="D5" s="15" t="inlineStr">
        <is>
          <t>Undecided</t>
        </is>
      </c>
    </row>
    <row r="6">
      <c r="A6" s="5" t="inlineStr">
        <is>
          <t>Multi-currency</t>
        </is>
      </c>
      <c r="B6" s="5" t="inlineStr">
        <is>
          <t>Multiple currencies within one household, FX</t>
        </is>
      </c>
      <c r="C6" s="5" t="inlineStr">
        <is>
          <t>Ties to M1</t>
        </is>
      </c>
      <c r="D6" s="15" t="inlineStr">
        <is>
          <t>Undecided</t>
        </is>
      </c>
    </row>
    <row r="7">
      <c r="A7" s="5" t="inlineStr">
        <is>
          <t>Tablet</t>
        </is>
      </c>
      <c r="B7" s="5" t="inlineStr">
        <is>
          <t>iPad / Android tablet layouts</t>
        </is>
      </c>
      <c r="C7" s="5" t="inlineStr">
        <is>
          <t>supportsTablet is false</t>
        </is>
      </c>
      <c r="D7" s="15" t="inlineStr">
        <is>
          <t>Undecided</t>
        </is>
      </c>
    </row>
    <row r="8">
      <c r="A8" s="5" t="inlineStr">
        <is>
          <t>Widgets</t>
        </is>
      </c>
      <c r="B8" s="5" t="inlineStr">
        <is>
          <t>Home-screen widgets (balance at a glance)</t>
        </is>
      </c>
      <c r="C8" s="5" t="inlineStr">
        <is>
          <t>Optional growth feature</t>
        </is>
      </c>
      <c r="D8" s="15" t="inlineStr">
        <is>
          <t>Undecided</t>
        </is>
      </c>
    </row>
    <row r="9">
      <c r="A9" s="5" t="inlineStr">
        <is>
          <t>Admin console</t>
        </is>
      </c>
      <c r="B9" s="5" t="inlineStr">
        <is>
          <t>Internal support/admin tool</t>
        </is>
      </c>
      <c r="C9" s="5" t="inlineStr">
        <is>
          <t>Needed to help users at scale</t>
        </is>
      </c>
      <c r="D9" s="15" t="inlineStr">
        <is>
          <t>Undecided</t>
        </is>
      </c>
    </row>
    <row r="10">
      <c r="A10" s="5" t="inlineStr">
        <is>
          <t>Moderation</t>
        </is>
      </c>
      <c r="B10" s="5" t="inlineStr">
        <is>
          <t>Abuse reporting, block, account lock</t>
        </is>
      </c>
      <c r="C10" s="5" t="inlineStr">
        <is>
          <t>Needed with open sign-up</t>
        </is>
      </c>
      <c r="D10" s="15" t="inlineStr">
        <is>
          <t>Undecided</t>
        </is>
      </c>
    </row>
    <row r="11">
      <c r="A11" s="5" t="inlineStr">
        <is>
          <t>Monitoring</t>
        </is>
      </c>
      <c r="B11" s="5" t="inlineStr">
        <is>
          <t>Uptime, DB metrics, alerting (e.g. on ledger_imbalance)</t>
        </is>
      </c>
      <c r="C11" s="5" t="inlineStr">
        <is>
          <t>Operational must-have</t>
        </is>
      </c>
      <c r="D11" s="15" t="inlineStr">
        <is>
          <t>Undecided</t>
        </is>
      </c>
    </row>
    <row r="12">
      <c r="A12" s="5" t="inlineStr">
        <is>
          <t>Legal</t>
        </is>
      </c>
      <c r="B12" s="5" t="inlineStr">
        <is>
          <t>India DPDP Act 2023 compliance; GDPR if EU users</t>
        </is>
      </c>
      <c r="C12" s="5" t="inlineStr">
        <is>
          <t>Consent, data requests, grievance officer</t>
        </is>
      </c>
      <c r="D12" s="15" t="inlineStr">
        <is>
          <t>Undecided</t>
        </is>
      </c>
    </row>
    <row r="13">
      <c r="A13" s="5" t="inlineStr">
        <is>
          <t>Store assets</t>
        </is>
      </c>
      <c r="B13" s="5" t="inlineStr">
        <is>
          <t>Screenshots, descriptions, feature graphic, keywords</t>
        </is>
      </c>
      <c r="C13" s="5" t="inlineStr">
        <is>
          <t>Required for listings</t>
        </is>
      </c>
      <c r="D13" s="15" t="inlineStr">
        <is>
          <t>Undecided</t>
        </is>
      </c>
    </row>
  </sheetData>
  <dataValidations count="1">
    <dataValidation sqref="D2:D42" showDropDown="0" showInputMessage="0" showErrorMessage="0" allowBlank="0" type="list">
      <formula1>"Undecided,Launch,Post-launch,Not needed"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How to use</t>
        </is>
      </c>
    </row>
    <row r="3">
      <c r="A3" s="13" t="inlineStr">
        <is>
          <t>Light-yellow cells are for you to edit: Status, Owner, Target date, Notes (Issues) and Decision (Not In App).</t>
        </is>
      </c>
    </row>
    <row r="4">
      <c r="A4" s="13" t="inlineStr">
        <is>
          <t>Status options: Open, In progress, Done, Won't fix. Done rows turn green and struck through.</t>
        </is>
      </c>
    </row>
    <row r="5">
      <c r="A5" s="13" t="inlineStr">
        <is>
          <t>Summary counts and % done are formulas driven by the Issues sheet.</t>
        </is>
      </c>
    </row>
    <row r="6">
      <c r="A6" s="13" t="inlineStr">
        <is>
          <t>Severity: Blocker = store rejection / security / data loss; High = breaks at scale; Medium = needed for growth; Low = cleanup.</t>
        </is>
      </c>
    </row>
    <row r="7">
      <c r="A7" s="13" t="inlineStr">
        <is>
          <t>Effort: S &lt; 1 day, M 1-3 days, L 1+ week. Rough estimates from the 2026-10-10 code audit.</t>
        </is>
      </c>
    </row>
    <row r="8">
      <c r="A8" s="13" t="inlineStr">
        <is>
          <t>Locations are paths in the roomly repo, with line numbers where known.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2026-10-10T14:42:05Z</dcterms:created>
  <dcterms:modified xmlns:dcterms="http://purl.org/dc/terms/" xmlns:xsi="http://www.w3.org/2001/XMLSchema-instance" xsi:type="dcterms:W3CDTF">2026-10-10T17:25:12Z</dcterms:modified>
</cp:coreProperties>
</file>